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1b62dbb21d5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onology" sheetId="1" r:id="R32843ce87a674a6e"/>
    <x:sheet xmlns:r="http://schemas.openxmlformats.org/officeDocument/2006/relationships" name="Sources" sheetId="2" r:id="R42bcce007ab0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0546A"/>
      <x:name val="Carlito"/>
    </x:font>
    <x:font>
      <x:b/>
      <x:sz val="11"/>
      <x:color rgb="FFFFFFFF"/>
      <x:name val="Carlito"/>
    </x:font>
    <x:font>
      <x:sz val="11"/>
      <x:color rgb="FF082545"/>
      <x:name val="Carlito"/>
    </x:font>
    <x:font>
      <x:b/>
      <x:sz val="14"/>
      <x:color rgb="FF082545"/>
      <x:name val="Carlito"/>
    </x:font>
    <x:font>
      <x:b/>
      <x:sz val="11"/>
      <x:color rgb="FF08254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2545"/>
      </x:patternFill>
    </x:fill>
    <x:fill>
      <x:patternFill patternType="solid">
        <x:fgColor rgb="FFFBF7EE"/>
      </x:patternFill>
    </x:fill>
    <x:fill>
      <x:patternFill patternType="solid">
        <x:fgColor rgb="FF147799"/>
      </x:patternFill>
    </x:fill>
    <x:fill>
      <x:patternFill patternType="solid">
        <x:fgColor rgb="FFE86F51"/>
      </x:patternFill>
    </x:fill>
    <x:fill>
      <x:patternFill patternType="solid">
        <x:fgColor rgb="FFEAF5F8"/>
      </x:patternFill>
    </x:fill>
    <x:fill>
      <x:patternFill patternType="solid">
        <x:fgColor rgb="FFFFFFFF"/>
      </x:patternFill>
    </x:fill>
  </x:fills>
  <x:borders count="9">
    <x:border/>
    <x:border>
      <x:bottom style="thin">
        <x:color rgb="FFC7D9E6"/>
      </x:bottom>
    </x:border>
    <x:border>
      <x:top style="thin">
        <x:color rgb="FFC7D9E6"/>
      </x:top>
      <x:bottom style="thin">
        <x:color rgb="FFC7D9E6"/>
      </x:bottom>
    </x:border>
    <x:border>
      <x:left style="thin">
        <x:color rgb="FF9BB8CA"/>
      </x:left>
      <x:top style="thin">
        <x:color rgb="FF9BB8CA"/>
      </x:top>
    </x:border>
    <x:border>
      <x:right style="thin">
        <x:color rgb="FF9BB8CA"/>
      </x:right>
      <x:top style="thin">
        <x:color rgb="FF9BB8CA"/>
      </x:top>
    </x:border>
    <x:border>
      <x:left style="thin">
        <x:color rgb="FF9BB8CA"/>
      </x:left>
    </x:border>
    <x:border>
      <x:right style="thin">
        <x:color rgb="FF9BB8CA"/>
      </x:right>
    </x:border>
    <x:border>
      <x:left style="thin">
        <x:color rgb="FF9BB8CA"/>
      </x:left>
      <x:bottom style="thin">
        <x:color rgb="FF9BB8CA"/>
      </x:bottom>
    </x:border>
    <x:border>
      <x:right style="thin">
        <x:color rgb="FF9BB8CA"/>
      </x:right>
      <x:bottom style="thin">
        <x:color rgb="FF9BB8C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6" fillId="6" borderId="5" xfId="0" applyNumberFormat="1" applyFont="1" applyFill="1" applyBorder="1"/>
    <x:xf numFmtId="0" fontId="4" fillId="7" borderId="6" xfId="0" applyNumberFormat="1" applyFont="1" applyFill="1" applyBorder="1"/>
    <x:xf numFmtId="0" fontId="6" fillId="6" borderId="7" xfId="0" applyNumberFormat="1" applyFont="1" applyFill="1" applyBorder="1"/>
    <x:xf numFmtId="0" fontId="4" fillId="7" borderId="8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89d534c2a6b943f6" /><Relationship Type="http://schemas.openxmlformats.org/officeDocument/2006/relationships/theme" Target="/xl/theme/theme1.xml" Id="R8c4f88e2ddcb4a4e" /><Relationship Type="http://schemas.openxmlformats.org/officeDocument/2006/relationships/sharedStrings" Target="/xl/sharedStrings.xml" Id="R91d419aa93624714" /><Relationship Type="http://schemas.openxmlformats.org/officeDocument/2006/relationships/worksheet" Target="/xl/worksheets/sheet1.xml" Id="R32843ce87a674a6e" /><Relationship Type="http://schemas.openxmlformats.org/officeDocument/2006/relationships/worksheet" Target="/xl/worksheets/sheet2.xml" Id="R42bcce007ab044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9" hidden="0" customWidth="1"/>
    <x:col min="4" max="4" width="42" hidden="0" customWidth="1"/>
    <x:col min="5" max="5" width="43" hidden="0" customWidth="1"/>
    <x:col min="7" max="7" width="20" hidden="0" customWidth="1"/>
    <x:col min="8" max="8" width="24" hidden="0" customWidth="1"/>
  </x:cols>
  <x:sheetData>
    <x:row r="1" ht="28" customHeight="1">
      <x:c r="A1" s="2" t="str">
        <x:v>Devil’s River case: chronology and evidence notes</x:v>
      </x:c>
      <x:c r="B1" s="2"/>
      <x:c r="C1" s="2"/>
      <x:c r="D1" s="2"/>
      <x:c r="E1" s="2"/>
      <x:c r="G1" s="22" t="str">
        <x:v>Workbook summary</x:v>
      </x:c>
      <x:c r="H1" s="23"/>
    </x:row>
    <x:row r="2" ht="42" customHeight="1">
      <x:c r="A2" s="5" t="str">
        <x:v>A compact companion to the article. It records sourced milestones without treating the 1863 verdict as a complete account.</x:v>
      </x:c>
      <x:c r="B2" s="5"/>
      <x:c r="C2" s="5"/>
      <x:c r="D2" s="5"/>
      <x:c r="E2" s="5"/>
      <x:c r="G2" s="24" t="str">
        <x:v>Events recorded</x:v>
      </x:c>
      <x:c r="H2" s="25" t="n">
        <x:f>COUNTA('Chronology'!A5:A100)</x:f>
        <x:v>3</x:v>
      </x:c>
    </x:row>
    <x:row r="3">
      <x:c r="G3" s="24" t="str">
        <x:v>Source records</x:v>
      </x:c>
      <x:c r="H3" s="25" t="n">
        <x:f>COUNTA('Sources'!A5:A100)</x:f>
        <x:v>4</x:v>
      </x:c>
    </x:row>
    <x:row r="4" ht="30" customHeight="1">
      <x:c r="A4" s="13" t="str">
        <x:v>Date</x:v>
      </x:c>
      <x:c r="B4" s="13" t="str">
        <x:v>Event</x:v>
      </x:c>
      <x:c r="C4" s="13" t="str">
        <x:v>People</x:v>
      </x:c>
      <x:c r="D4" s="13" t="str">
        <x:v>What the record supports</x:v>
      </x:c>
      <x:c r="E4" s="13" t="str">
        <x:v>Caution</x:v>
      </x:c>
      <x:c r="G4" s="26" t="str">
        <x:v>Purpose</x:v>
      </x:c>
      <x:c r="H4" s="27" t="str">
        <x:v>Context, not a verdict</x:v>
      </x:c>
    </x:row>
    <x:row r="5" ht="70" customHeight="1">
      <x:c r="A5" s="14" t="str">
        <x:v>1863-04-11</x:v>
      </x:c>
      <x:c r="B5" s="15" t="str">
        <x:v>Robert Scott was killed by a shotgun blast at Devil’s River.</x:v>
      </x:c>
      <x:c r="C5" s="15" t="str">
        <x:v>Robert Scott</x:v>
      </x:c>
      <x:c r="D5" s="15" t="str">
        <x:v>The death and date are consistently recorded in the article’s sources.</x:v>
      </x:c>
      <x:c r="E5" s="15" t="str">
        <x:v>The precise role of each accused remains contested in later accounts.</x:v>
      </x:c>
    </x:row>
    <x:row r="6" ht="70" customHeight="1">
      <x:c r="A6" s="14" t="str">
        <x:v>1863-11-11</x:v>
      </x:c>
      <x:c r="B6" s="15" t="str">
        <x:v>Elizabeth Scott, David Gedge and Julian Cross were executed at Melbourne Gaol.</x:v>
      </x:c>
      <x:c r="C6" s="15" t="str">
        <x:v>Elizabeth Scott; David Gedge; Julian Cross</x:v>
      </x:c>
      <x:c r="D6" s="15" t="str">
        <x:v>All three were convicted and the Executive Council did not recommend mercy.</x:v>
      </x:c>
      <x:c r="E6" s="15" t="str">
        <x:v>The mercy process could commute the sentence; it did not retry guilt.</x:v>
      </x:c>
    </x:row>
    <x:row r="7" ht="70" customHeight="1">
      <x:c r="A7" s="14" t="str">
        <x:v>1863-11-11</x:v>
      </x:c>
      <x:c r="B7" s="15" t="str">
        <x:v>Elizabeth Scott became the first woman executed in the Colony of Victoria.</x:v>
      </x:c>
      <x:c r="C7" s="15" t="str">
        <x:v>Elizabeth Scott</x:v>
      </x:c>
      <x:c r="D7" s="15" t="str">
        <x:v>Elizabeth was 23 at the time of execution.</x:v>
      </x:c>
      <x:c r="E7" s="15" t="str">
        <x:v>This first should not eclipse the documented domestic violence or limits of the trial record.</x:v>
      </x:c>
    </x:row>
  </x:sheetData>
  <x:mergeCells>
    <x:mergeCell ref="A1:E1"/>
    <x:mergeCell ref="A2:E2"/>
    <x:mergeCell ref="G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0" hidden="0" customWidth="1"/>
    <x:col min="3" max="3" width="41" hidden="0" customWidth="1"/>
    <x:col min="4" max="4" width="78" hidden="0" customWidth="1"/>
  </x:cols>
  <x:sheetData>
    <x:row r="1" ht="32" customHeight="1">
      <x:c r="A1" s="2" t="str">
        <x:v>Sources cited by the article</x:v>
      </x:c>
      <x:c r="B1" s="2"/>
      <x:c r="C1" s="2"/>
      <x:c r="D1" s="2"/>
    </x:row>
    <x:row r="2" ht="42" customHeight="1">
      <x:c r="A2" s="5" t="str">
        <x:v>Open the full article for narrative context. These links are provided as an audit trail, not as a substitute for reading the records critically.</x:v>
      </x:c>
      <x:c r="B2" s="5"/>
      <x:c r="C2" s="5"/>
      <x:c r="D2" s="5"/>
    </x:row>
    <x:row r="4" ht="30" customHeight="1">
      <x:c r="A4" s="28" t="str">
        <x:v>Source</x:v>
      </x:c>
      <x:c r="B4" s="28" t="str">
        <x:v>Organisation</x:v>
      </x:c>
      <x:c r="C4" s="28" t="str">
        <x:v>Focus</x:v>
      </x:c>
      <x:c r="D4" s="28" t="str">
        <x:v>URL</x:v>
      </x:c>
    </x:row>
    <x:row r="5" ht="62" customHeight="1">
      <x:c r="A5" s="15" t="str">
        <x:v>Murder at Devil’s River, Part One</x:v>
      </x:c>
      <x:c r="B5" s="15" t="str">
        <x:v>Forgotten Australia</x:v>
      </x:c>
      <x:c r="C5" s="15" t="str">
        <x:v>Later narrative investigation of the case</x:v>
      </x:c>
      <x:c r="D5" s="15" t="str">
        <x:v>https://shows.acast.com/forgotten-australia/episodes/murder-at-devils-river-part-one-bob-scott-is-shot</x:v>
      </x:c>
    </x:row>
    <x:row r="6" ht="62" customHeight="1">
      <x:c r="A6" s="15" t="str">
        <x:v>Attitudes to wife beating in colonial Victoria</x:v>
      </x:c>
      <x:c r="B6" s="15" t="str">
        <x:v>Public Record Office Victoria</x:v>
      </x:c>
      <x:c r="C6" s="15" t="str">
        <x:v>Elizabeth Scott’s history and domestic violence</x:v>
      </x:c>
      <x:c r="D6" s="15" t="str">
        <x:v>https://prov.vic.gov.au/explore-collection/provenance-journal/provenance-2019/attitudes-wife-beating-colonial-victoria</x:v>
      </x:c>
    </x:row>
    <x:row r="7" ht="62" customHeight="1">
      <x:c r="A7" s="15" t="str">
        <x:v>Capital case and capital sentence files</x:v>
      </x:c>
      <x:c r="B7" s="15" t="str">
        <x:v>Public Record Office Victoria</x:v>
      </x:c>
      <x:c r="C7" s="15" t="str">
        <x:v>How conviction, sentence and mercy review were recorded</x:v>
      </x:c>
      <x:c r="D7" s="15" t="str">
        <x:v>https://prov.vic.gov.au/explore-collection/explore-topic/criminal-court-cases/capital-case-and-capital-sentence-files</x:v>
      </x:c>
    </x:row>
    <x:row r="8" ht="62" customHeight="1">
      <x:c r="A8" s="15" t="str">
        <x:v>Women, Children and Gaol</x:v>
      </x:c>
      <x:c r="B8" s="15" t="str">
        <x:v>National Trust of Australia (Victoria)</x:v>
      </x:c>
      <x:c r="C8" s="15" t="str">
        <x:v>Historical context for women and children at the gaol</x:v>
      </x:c>
      <x:c r="D8" s="15" t="str">
        <x:v>https://www.nationaltrust.org.au/women-children-and-gaol/</x:v>
      </x:c>
    </x:row>
  </x:sheetData>
  <x:mergeCells>
    <x:mergeCell ref="A1:D1"/>
    <x:mergeCell ref="A2:D2"/>
  </x:mergeCells>
  <x:pageMargins left="0.7" right="0.7" top="0.75" bottom="0.75" header="0.3" footer="0.3"/>
</x:worksheet>
</file>